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 filterPrivacy="1"/>
  <xr:revisionPtr revIDLastSave="0" documentId="13_ncr:1_{50113E4B-6F9A-C84B-B28E-57EE709A086D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4" l="1"/>
  <c r="F8" i="4"/>
  <c r="C31" i="4"/>
  <c r="G19" i="4"/>
  <c r="G18" i="4"/>
  <c r="G17" i="4"/>
  <c r="G16" i="4"/>
  <c r="G15" i="4"/>
  <c r="G14" i="4"/>
  <c r="G13" i="4"/>
  <c r="G12" i="4"/>
  <c r="G11" i="4"/>
  <c r="G10" i="4"/>
  <c r="G9" i="4"/>
  <c r="G8" i="4"/>
  <c r="F19" i="4"/>
  <c r="F18" i="4"/>
  <c r="F17" i="4"/>
  <c r="F16" i="4"/>
  <c r="F15" i="4"/>
  <c r="F14" i="4"/>
  <c r="F13" i="4"/>
  <c r="F11" i="4"/>
  <c r="F10" i="4"/>
  <c r="F9" i="4"/>
  <c r="E19" i="4"/>
  <c r="E18" i="4"/>
  <c r="E17" i="4"/>
  <c r="E16" i="4"/>
  <c r="E15" i="4"/>
  <c r="E14" i="4"/>
  <c r="E13" i="4"/>
  <c r="E12" i="4"/>
  <c r="E11" i="4"/>
  <c r="E10" i="4"/>
  <c r="E9" i="4"/>
</calcChain>
</file>

<file path=xl/sharedStrings.xml><?xml version="1.0" encoding="utf-8"?>
<sst xmlns="http://schemas.openxmlformats.org/spreadsheetml/2006/main" count="24" uniqueCount="22">
  <si>
    <t>N</t>
  </si>
  <si>
    <t>T(N)</t>
  </si>
  <si>
    <t>ratio</t>
  </si>
  <si>
    <t>b=</t>
  </si>
  <si>
    <t>a=</t>
  </si>
  <si>
    <t>гіпотеза</t>
  </si>
  <si>
    <t>спостереження</t>
  </si>
  <si>
    <t>Завдання</t>
  </si>
  <si>
    <t>Знайти значення a і b</t>
  </si>
  <si>
    <t>a=?</t>
  </si>
  <si>
    <t>T(N)=aN^b</t>
  </si>
  <si>
    <t>a=T(N)/N^b</t>
  </si>
  <si>
    <t xml:space="preserve">беремо T(N) для великого N: N = 256000 </t>
  </si>
  <si>
    <t>різниця</t>
  </si>
  <si>
    <t>lg(N)</t>
  </si>
  <si>
    <t>lg(T(N))</t>
  </si>
  <si>
    <t>b=lg(ratio)</t>
  </si>
  <si>
    <t>T(N)=</t>
  </si>
  <si>
    <r>
      <rPr>
        <b/>
        <sz val="11"/>
        <color theme="1"/>
        <rFont val="Calibri"/>
        <family val="2"/>
        <charset val="204"/>
        <scheme val="minor"/>
      </rPr>
      <t>T(N)=aN^b</t>
    </r>
    <r>
      <rPr>
        <sz val="11"/>
        <color theme="1"/>
        <rFont val="Calibri"/>
        <family val="2"/>
        <scheme val="minor"/>
      </rPr>
      <t xml:space="preserve"> - функція залежності часу виконання програми від обсягу вхідних даних</t>
    </r>
  </si>
  <si>
    <t>Сформулювати гіпотезу порядку зростання часу виконання програми в залежності від обсягу вхідних даних</t>
  </si>
  <si>
    <t xml:space="preserve"> </t>
  </si>
  <si>
    <t>3,734*10^-9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</si>
</sst>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7030A0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1"/>
      <color theme="4" tint="-0.249977111117893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charset val="204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6" fillId="0" borderId="0" xfId="0" applyFont="1"/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50763342082239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'1'!$C$7</c:f>
              <c:strCache>
                <c:ptCount val="1"/>
                <c:pt idx="0">
                  <c:v>T(N)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'1'!$B$8:$B$19</c:f>
              <c:numCache>
                <c:formatCode>General</c:formatCode>
                <c:ptCount val="12"/>
                <c:pt idx="0">
                  <c:v>125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4000</c:v>
                </c:pt>
                <c:pt idx="6">
                  <c:v>8000</c:v>
                </c:pt>
                <c:pt idx="7">
                  <c:v>16000</c:v>
                </c:pt>
                <c:pt idx="8">
                  <c:v>32000</c:v>
                </c:pt>
                <c:pt idx="9">
                  <c:v>64000</c:v>
                </c:pt>
                <c:pt idx="10">
                  <c:v>128000</c:v>
                </c:pt>
                <c:pt idx="11">
                  <c:v>256000</c:v>
                </c:pt>
              </c:numCache>
            </c:numRef>
          </c:xVal>
          <c:yVal>
            <c:numRef>
              <c:f>'1'!$C$8:$C$19</c:f>
              <c:numCache>
                <c:formatCode>General</c:formatCode>
                <c:ptCount val="12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7.0000000000000001E-3</c:v>
                </c:pt>
                <c:pt idx="4">
                  <c:v>1.9E-2</c:v>
                </c:pt>
                <c:pt idx="5">
                  <c:v>6.5000000000000002E-2</c:v>
                </c:pt>
                <c:pt idx="6">
                  <c:v>0.253</c:v>
                </c:pt>
                <c:pt idx="7">
                  <c:v>0.96399999999999997</c:v>
                </c:pt>
                <c:pt idx="8">
                  <c:v>3.7789999999999999</c:v>
                </c:pt>
                <c:pt idx="9">
                  <c:v>15.035</c:v>
                </c:pt>
                <c:pt idx="10">
                  <c:v>60.63</c:v>
                </c:pt>
                <c:pt idx="11">
                  <c:v>244.75299999999999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FC-A24B-9927-35CA3BB81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449544"/>
        <c:axId val="328442984"/>
      </c:scatterChart>
      <c:valAx>
        <c:axId val="328449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328442984"/>
        <c:crosses val="autoZero"/>
        <c:crossBetween val="midCat"/>
      </c:valAx>
      <c:valAx>
        <c:axId val="328442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328449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'1'!$G$7</c:f>
              <c:strCache>
                <c:ptCount val="1"/>
                <c:pt idx="0">
                  <c:v>lg(T(N))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'1'!$F$8:$F$19</c:f>
              <c:numCache>
                <c:formatCode>General</c:formatCode>
                <c:ptCount val="12"/>
                <c:pt idx="0">
                  <c:v>6.9657842846620879</c:v>
                </c:pt>
                <c:pt idx="1">
                  <c:v>7.965784284662087</c:v>
                </c:pt>
                <c:pt idx="2">
                  <c:v>8.965784284662087</c:v>
                </c:pt>
                <c:pt idx="3">
                  <c:v>9.965784284662087</c:v>
                </c:pt>
                <c:pt idx="4">
                  <c:v>10.965784284662087</c:v>
                </c:pt>
                <c:pt idx="5">
                  <c:v>11.965784284662087</c:v>
                </c:pt>
                <c:pt idx="6">
                  <c:v>12.965784284662087</c:v>
                </c:pt>
                <c:pt idx="7">
                  <c:v>13.965784284662087</c:v>
                </c:pt>
                <c:pt idx="8">
                  <c:v>14.965784284662087</c:v>
                </c:pt>
                <c:pt idx="9">
                  <c:v>15.965784284662089</c:v>
                </c:pt>
                <c:pt idx="10">
                  <c:v>16.965784284662089</c:v>
                </c:pt>
                <c:pt idx="11">
                  <c:v>17.965784284662089</c:v>
                </c:pt>
              </c:numCache>
            </c:numRef>
          </c:xVal>
          <c:yVal>
            <c:numRef>
              <c:f>'1'!$G$8:$G$19</c:f>
              <c:numCache>
                <c:formatCode>General</c:formatCode>
                <c:ptCount val="12"/>
                <c:pt idx="0">
                  <c:v>-9.965784284662087</c:v>
                </c:pt>
                <c:pt idx="1">
                  <c:v>-8.965784284662087</c:v>
                </c:pt>
                <c:pt idx="2">
                  <c:v>-8.3808217839409309</c:v>
                </c:pt>
                <c:pt idx="3">
                  <c:v>-7.1584293626044824</c:v>
                </c:pt>
                <c:pt idx="4">
                  <c:v>-5.7178567712185018</c:v>
                </c:pt>
                <c:pt idx="5">
                  <c:v>-3.9434164716336326</c:v>
                </c:pt>
                <c:pt idx="6">
                  <c:v>-1.9827907099677771</c:v>
                </c:pt>
                <c:pt idx="7">
                  <c:v>-5.2894948432125471E-2</c:v>
                </c:pt>
                <c:pt idx="8">
                  <c:v>1.9180045185978745</c:v>
                </c:pt>
                <c:pt idx="9">
                  <c:v>3.9102529627992784</c:v>
                </c:pt>
                <c:pt idx="10">
                  <c:v>5.9219599173261672</c:v>
                </c:pt>
                <c:pt idx="11">
                  <c:v>7.9351827331934688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0F-954E-935B-CCA833160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037256"/>
        <c:axId val="692039880"/>
      </c:scatterChart>
      <c:valAx>
        <c:axId val="692037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692039880"/>
        <c:crosses val="autoZero"/>
        <c:crossBetween val="midCat"/>
      </c:valAx>
      <c:valAx>
        <c:axId val="69203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A"/>
          </a:p>
        </c:txPr>
        <c:crossAx val="692037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126836</xdr:colOff>
      <xdr:row>4</xdr:row>
      <xdr:rowOff>3811</xdr:rowOff>
    </xdr:from>
    <xdr:to>
      <xdr:col>14</xdr:col>
      <xdr:colOff>431636</xdr:colOff>
      <xdr:row>19</xdr:row>
      <xdr:rowOff>3811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0485491-47C8-1349-909B-11CAD217D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126837</xdr:colOff>
      <xdr:row>20</xdr:row>
      <xdr:rowOff>13690</xdr:rowOff>
    </xdr:from>
    <xdr:to>
      <xdr:col>14</xdr:col>
      <xdr:colOff>431637</xdr:colOff>
      <xdr:row>35</xdr:row>
      <xdr:rowOff>13690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5B8EC43-0C5A-6C41-854F-67466A07A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945D-B784-2B4A-B11F-39C0EC05DF9C}">
  <dimension ref="A1:K38"/>
  <sheetViews>
    <sheetView tabSelected="1" zoomScale="110" zoomScaleNormal="109" workbookViewId="0">
      <selection activeCell="D19" sqref="D19"/>
    </sheetView>
  </sheetViews>
  <sheetFormatPr baseColWidth="10" defaultColWidth="8.83203125" defaultRowHeight="15" x14ac:dyDescent="0.2"/>
  <cols>
    <col min="2" max="2" width="8.83203125" customWidth="1"/>
    <col min="3" max="3" width="30.1640625" bestFit="1" customWidth="1"/>
    <col min="4" max="4" width="18" customWidth="1"/>
    <col min="5" max="5" width="12.83203125" customWidth="1"/>
    <col min="6" max="6" width="12.1640625" bestFit="1" customWidth="1"/>
    <col min="7" max="7" width="12.6640625" bestFit="1" customWidth="1"/>
  </cols>
  <sheetData>
    <row r="1" spans="1:11" x14ac:dyDescent="0.2">
      <c r="A1" s="6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">
      <c r="A2" s="6"/>
      <c r="B2" s="7" t="s">
        <v>7</v>
      </c>
      <c r="C2" s="6"/>
      <c r="D2" s="6"/>
      <c r="E2" s="6"/>
      <c r="F2" s="6"/>
      <c r="G2" s="8"/>
      <c r="H2" s="6"/>
      <c r="I2" s="6"/>
      <c r="J2" s="6"/>
      <c r="K2" s="6"/>
    </row>
    <row r="3" spans="1:11" x14ac:dyDescent="0.2">
      <c r="A3" s="6"/>
      <c r="B3" s="9" t="s">
        <v>18</v>
      </c>
      <c r="C3" s="6"/>
      <c r="D3" s="6"/>
      <c r="E3" s="6"/>
      <c r="F3" s="6"/>
      <c r="G3" s="8"/>
      <c r="H3" s="6"/>
      <c r="I3" s="6"/>
      <c r="J3" s="6"/>
      <c r="K3" s="6"/>
    </row>
    <row r="4" spans="1:11" x14ac:dyDescent="0.2">
      <c r="A4" s="6"/>
      <c r="B4" s="6" t="s">
        <v>19</v>
      </c>
      <c r="C4" s="6"/>
      <c r="D4" s="6"/>
      <c r="E4" s="6"/>
      <c r="F4" s="6"/>
      <c r="G4" s="8"/>
      <c r="H4" s="6"/>
      <c r="I4" s="6"/>
      <c r="J4" s="6"/>
      <c r="K4" s="6"/>
    </row>
    <row r="5" spans="1:11" x14ac:dyDescent="0.2">
      <c r="A5" s="6"/>
      <c r="B5" s="6" t="s">
        <v>8</v>
      </c>
      <c r="C5" s="6"/>
      <c r="D5" s="6"/>
      <c r="E5" s="6"/>
      <c r="F5" s="6"/>
      <c r="G5" s="6"/>
      <c r="H5" s="6"/>
      <c r="I5" s="6"/>
      <c r="J5" s="6"/>
      <c r="K5" s="6"/>
    </row>
    <row r="6" spans="1:11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s="1" customFormat="1" ht="21" customHeight="1" x14ac:dyDescent="0.2">
      <c r="A7" s="10"/>
      <c r="B7" s="22" t="s">
        <v>0</v>
      </c>
      <c r="C7" s="22" t="s">
        <v>1</v>
      </c>
      <c r="D7" s="22" t="s">
        <v>2</v>
      </c>
      <c r="E7" s="22" t="s">
        <v>16</v>
      </c>
      <c r="F7" s="22" t="s">
        <v>14</v>
      </c>
      <c r="G7" s="22" t="s">
        <v>15</v>
      </c>
      <c r="H7" s="10"/>
      <c r="I7" s="10"/>
      <c r="J7" s="10"/>
      <c r="K7" s="10"/>
    </row>
    <row r="8" spans="1:11" x14ac:dyDescent="0.2">
      <c r="A8" s="6"/>
      <c r="B8" s="3">
        <v>125</v>
      </c>
      <c r="C8" s="3">
        <v>1E-3</v>
      </c>
      <c r="D8" s="4" t="s">
        <v>20</v>
      </c>
      <c r="E8" s="4"/>
      <c r="F8" s="4">
        <f>LOG(B8,2)</f>
        <v>6.9657842846620879</v>
      </c>
      <c r="G8" s="4">
        <f>LOG(C8,2)</f>
        <v>-9.965784284662087</v>
      </c>
      <c r="H8" s="6"/>
      <c r="I8" s="6"/>
      <c r="J8" s="6"/>
      <c r="K8" s="6"/>
    </row>
    <row r="9" spans="1:11" x14ac:dyDescent="0.2">
      <c r="A9" s="6"/>
      <c r="B9" s="4">
        <v>250</v>
      </c>
      <c r="C9" s="4">
        <v>2E-3</v>
      </c>
      <c r="D9" s="4">
        <v>2</v>
      </c>
      <c r="E9" s="4">
        <f>LOG(D9,2)</f>
        <v>1</v>
      </c>
      <c r="F9" s="4">
        <f t="shared" ref="F9:F19" si="0">LOG(B9,2)</f>
        <v>7.965784284662087</v>
      </c>
      <c r="G9" s="4">
        <f t="shared" ref="G9:G18" si="1">LOG(C9,2)</f>
        <v>-8.965784284662087</v>
      </c>
      <c r="H9" s="6"/>
      <c r="I9" s="6"/>
      <c r="J9" s="6"/>
      <c r="K9" s="6"/>
    </row>
    <row r="10" spans="1:11" x14ac:dyDescent="0.2">
      <c r="A10" s="6"/>
      <c r="B10" s="4">
        <v>500</v>
      </c>
      <c r="C10" s="4">
        <v>3.0000000000000001E-3</v>
      </c>
      <c r="D10" s="4">
        <v>1.5</v>
      </c>
      <c r="E10" s="4">
        <f>LOG(D10,2)</f>
        <v>0.58496250072115619</v>
      </c>
      <c r="F10" s="4">
        <f t="shared" si="0"/>
        <v>8.965784284662087</v>
      </c>
      <c r="G10" s="4">
        <f t="shared" si="1"/>
        <v>-8.3808217839409309</v>
      </c>
      <c r="H10" s="6"/>
      <c r="I10" s="6"/>
      <c r="J10" s="6"/>
      <c r="K10" s="6"/>
    </row>
    <row r="11" spans="1:11" x14ac:dyDescent="0.2">
      <c r="A11" s="6"/>
      <c r="B11" s="4">
        <v>1000</v>
      </c>
      <c r="C11" s="4">
        <v>7.0000000000000001E-3</v>
      </c>
      <c r="D11" s="4">
        <v>2.3330000000000002</v>
      </c>
      <c r="E11" s="4">
        <f>LOG(D11,2)</f>
        <v>1.2221863073221124</v>
      </c>
      <c r="F11" s="4">
        <f t="shared" si="0"/>
        <v>9.965784284662087</v>
      </c>
      <c r="G11" s="4">
        <f t="shared" si="1"/>
        <v>-7.1584293626044824</v>
      </c>
      <c r="H11" s="6"/>
      <c r="I11" s="6"/>
      <c r="J11" s="6"/>
      <c r="K11" s="6"/>
    </row>
    <row r="12" spans="1:11" x14ac:dyDescent="0.2">
      <c r="A12" s="6"/>
      <c r="B12" s="4">
        <v>2000</v>
      </c>
      <c r="C12" s="4">
        <v>1.9E-2</v>
      </c>
      <c r="D12" s="4">
        <v>2.714</v>
      </c>
      <c r="E12" s="4">
        <f t="shared" ref="E12:E19" si="2">LOG(D12,2)</f>
        <v>1.4404207207567672</v>
      </c>
      <c r="F12" s="4">
        <f>LOG(B12,2)</f>
        <v>10.965784284662087</v>
      </c>
      <c r="G12" s="4">
        <f t="shared" si="1"/>
        <v>-5.7178567712185018</v>
      </c>
      <c r="H12" s="6"/>
      <c r="I12" s="6"/>
      <c r="J12" s="6"/>
      <c r="K12" s="6"/>
    </row>
    <row r="13" spans="1:11" x14ac:dyDescent="0.2">
      <c r="A13" s="6"/>
      <c r="B13" s="4">
        <v>4000</v>
      </c>
      <c r="C13" s="4">
        <v>6.5000000000000002E-2</v>
      </c>
      <c r="D13" s="4">
        <v>3.4209999999999998</v>
      </c>
      <c r="E13" s="4">
        <f t="shared" si="2"/>
        <v>1.7744181041058127</v>
      </c>
      <c r="F13" s="4">
        <f t="shared" si="0"/>
        <v>11.965784284662087</v>
      </c>
      <c r="G13" s="4">
        <f t="shared" si="1"/>
        <v>-3.9434164716336326</v>
      </c>
      <c r="H13" s="6"/>
      <c r="I13" s="6"/>
      <c r="J13" s="6"/>
      <c r="K13" s="6"/>
    </row>
    <row r="14" spans="1:11" x14ac:dyDescent="0.2">
      <c r="A14" s="6"/>
      <c r="B14" s="4">
        <v>8000</v>
      </c>
      <c r="C14" s="4">
        <v>0.253</v>
      </c>
      <c r="D14" s="4">
        <v>3.8919999999999999</v>
      </c>
      <c r="E14" s="4">
        <f t="shared" si="2"/>
        <v>1.9605117101190246</v>
      </c>
      <c r="F14" s="4">
        <f t="shared" si="0"/>
        <v>12.965784284662087</v>
      </c>
      <c r="G14" s="4">
        <f t="shared" si="1"/>
        <v>-1.9827907099677771</v>
      </c>
      <c r="H14" s="6"/>
      <c r="I14" s="6"/>
      <c r="J14" s="6"/>
      <c r="K14" s="6"/>
    </row>
    <row r="15" spans="1:11" x14ac:dyDescent="0.2">
      <c r="A15" s="6"/>
      <c r="B15" s="4">
        <v>16000</v>
      </c>
      <c r="C15" s="4">
        <v>0.96399999999999997</v>
      </c>
      <c r="D15" s="4">
        <v>3.81</v>
      </c>
      <c r="E15" s="4">
        <f t="shared" si="2"/>
        <v>1.9297909977185974</v>
      </c>
      <c r="F15" s="4">
        <f t="shared" si="0"/>
        <v>13.965784284662087</v>
      </c>
      <c r="G15" s="4">
        <f t="shared" si="1"/>
        <v>-5.2894948432125471E-2</v>
      </c>
      <c r="H15" s="6"/>
      <c r="I15" s="6"/>
      <c r="J15" s="6"/>
      <c r="K15" s="6"/>
    </row>
    <row r="16" spans="1:11" x14ac:dyDescent="0.2">
      <c r="A16" s="6"/>
      <c r="B16" s="4">
        <v>32000</v>
      </c>
      <c r="C16" s="4">
        <v>3.7789999999999999</v>
      </c>
      <c r="D16" s="4">
        <v>3.92</v>
      </c>
      <c r="E16" s="4">
        <f t="shared" si="2"/>
        <v>1.9708536543404835</v>
      </c>
      <c r="F16" s="4">
        <f t="shared" si="0"/>
        <v>14.965784284662087</v>
      </c>
      <c r="G16" s="4">
        <f t="shared" si="1"/>
        <v>1.9180045185978745</v>
      </c>
      <c r="H16" s="6"/>
      <c r="I16" s="6"/>
      <c r="J16" s="6"/>
      <c r="K16" s="6"/>
    </row>
    <row r="17" spans="1:11" x14ac:dyDescent="0.2">
      <c r="A17" s="6"/>
      <c r="B17" s="4">
        <v>64000</v>
      </c>
      <c r="C17" s="4">
        <v>15.035</v>
      </c>
      <c r="D17" s="4">
        <v>3.97</v>
      </c>
      <c r="E17" s="4">
        <f t="shared" si="2"/>
        <v>1.9891390073682333</v>
      </c>
      <c r="F17" s="4">
        <f t="shared" si="0"/>
        <v>15.965784284662089</v>
      </c>
      <c r="G17" s="4">
        <f t="shared" si="1"/>
        <v>3.9102529627992784</v>
      </c>
      <c r="H17" s="6"/>
      <c r="I17" s="6"/>
      <c r="J17" s="6"/>
      <c r="K17" s="6"/>
    </row>
    <row r="18" spans="1:11" s="2" customFormat="1" x14ac:dyDescent="0.2">
      <c r="A18" s="11"/>
      <c r="B18" s="5">
        <v>128000</v>
      </c>
      <c r="C18" s="5">
        <v>60.63</v>
      </c>
      <c r="D18" s="5">
        <v>4.032</v>
      </c>
      <c r="E18" s="4">
        <f t="shared" si="2"/>
        <v>2.0114956388378293</v>
      </c>
      <c r="F18" s="4">
        <f t="shared" si="0"/>
        <v>16.965784284662089</v>
      </c>
      <c r="G18" s="4">
        <f t="shared" si="1"/>
        <v>5.9219599173261672</v>
      </c>
      <c r="H18" s="11"/>
      <c r="I18" s="11"/>
      <c r="J18" s="11"/>
      <c r="K18" s="11"/>
    </row>
    <row r="19" spans="1:11" x14ac:dyDescent="0.2">
      <c r="A19" s="6"/>
      <c r="B19" s="4">
        <v>256000</v>
      </c>
      <c r="C19" s="4">
        <v>244.75299999999999</v>
      </c>
      <c r="D19" s="4">
        <v>4.0359999999999996</v>
      </c>
      <c r="E19" s="4">
        <f t="shared" si="2"/>
        <v>2.0129261744442704</v>
      </c>
      <c r="F19" s="4">
        <f t="shared" si="0"/>
        <v>17.965784284662089</v>
      </c>
      <c r="G19" s="4">
        <f>LOG(C19,2)</f>
        <v>7.9351827331934688</v>
      </c>
      <c r="H19" s="6"/>
      <c r="I19" s="6"/>
      <c r="J19" s="6"/>
      <c r="K19" s="6"/>
    </row>
    <row r="20" spans="1:11" x14ac:dyDescent="0.2">
      <c r="A20" s="6"/>
      <c r="B20" s="8"/>
      <c r="C20" s="8"/>
      <c r="D20" s="12" t="s">
        <v>3</v>
      </c>
      <c r="E20" s="13">
        <v>2</v>
      </c>
      <c r="F20" s="8"/>
      <c r="G20" s="8"/>
      <c r="H20" s="8"/>
      <c r="I20" s="8"/>
      <c r="J20" s="6"/>
      <c r="K20" s="6"/>
    </row>
    <row r="21" spans="1:11" x14ac:dyDescent="0.2">
      <c r="A21" s="6"/>
      <c r="B21" s="8"/>
      <c r="C21" s="8"/>
      <c r="D21" s="14" t="s">
        <v>9</v>
      </c>
      <c r="E21" s="8"/>
      <c r="F21" s="8"/>
      <c r="G21" s="8"/>
      <c r="H21" s="8"/>
      <c r="I21" s="8"/>
      <c r="J21" s="6"/>
      <c r="K21" s="6"/>
    </row>
    <row r="22" spans="1:11" x14ac:dyDescent="0.2">
      <c r="A22" s="6"/>
      <c r="B22" s="8"/>
      <c r="C22" s="6"/>
      <c r="D22" s="6" t="s">
        <v>10</v>
      </c>
      <c r="E22" s="23" t="s">
        <v>12</v>
      </c>
      <c r="F22" s="6"/>
      <c r="G22" s="6"/>
      <c r="H22" s="6"/>
      <c r="I22" s="6"/>
      <c r="J22" s="6"/>
      <c r="K22" s="6"/>
    </row>
    <row r="23" spans="1:11" x14ac:dyDescent="0.2">
      <c r="A23" s="6"/>
      <c r="B23" s="6"/>
      <c r="C23" s="6"/>
      <c r="D23" s="15" t="s">
        <v>11</v>
      </c>
      <c r="F23" s="6"/>
      <c r="G23" s="6"/>
      <c r="H23" s="6"/>
      <c r="I23" s="6"/>
      <c r="J23" s="6"/>
      <c r="K23" s="6"/>
    </row>
    <row r="24" spans="1:11" x14ac:dyDescent="0.2">
      <c r="A24" s="6"/>
      <c r="B24" s="6"/>
      <c r="C24" s="6"/>
      <c r="D24" s="6" t="s">
        <v>4</v>
      </c>
      <c r="E24" s="6"/>
      <c r="F24" s="6"/>
      <c r="G24" s="6"/>
      <c r="H24" s="6"/>
      <c r="I24" s="6"/>
      <c r="J24" s="6"/>
      <c r="K24" s="6"/>
    </row>
    <row r="25" spans="1:11" x14ac:dyDescent="0.2">
      <c r="A25" s="6"/>
      <c r="B25" s="8"/>
      <c r="C25" s="6"/>
      <c r="D25" s="16" t="s">
        <v>4</v>
      </c>
      <c r="E25" s="17" t="s">
        <v>21</v>
      </c>
      <c r="F25" s="6"/>
      <c r="G25" s="6"/>
      <c r="H25" s="6"/>
      <c r="I25" s="6"/>
      <c r="J25" s="6"/>
      <c r="K25" s="6"/>
    </row>
    <row r="26" spans="1:1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x14ac:dyDescent="0.2">
      <c r="A27" s="6"/>
      <c r="B27" s="18">
        <v>512000</v>
      </c>
      <c r="C27" s="18" t="s">
        <v>17</v>
      </c>
      <c r="D27" s="20" t="s">
        <v>5</v>
      </c>
      <c r="E27" s="6"/>
      <c r="F27" s="6"/>
      <c r="G27" s="6"/>
      <c r="H27" s="6"/>
      <c r="I27" s="6"/>
      <c r="J27" s="6"/>
      <c r="K27" s="6"/>
    </row>
    <row r="28" spans="1:11" x14ac:dyDescent="0.2">
      <c r="A28" s="6"/>
      <c r="B28" s="18">
        <v>512000</v>
      </c>
      <c r="C28" s="18">
        <v>979.01199999999994</v>
      </c>
      <c r="D28" s="20" t="s">
        <v>5</v>
      </c>
      <c r="E28" s="6"/>
      <c r="F28" s="6"/>
      <c r="G28" s="6"/>
      <c r="H28" s="6"/>
      <c r="I28" s="6"/>
      <c r="J28" s="6"/>
      <c r="K28" s="6"/>
    </row>
    <row r="29" spans="1:11" x14ac:dyDescent="0.2">
      <c r="A29" s="6"/>
      <c r="B29" s="18"/>
      <c r="C29" s="18"/>
      <c r="D29" s="20"/>
      <c r="E29" s="6"/>
      <c r="F29" s="6"/>
      <c r="G29" s="6"/>
      <c r="H29" s="6"/>
      <c r="I29" s="6"/>
      <c r="J29" s="6"/>
      <c r="K29" s="6"/>
    </row>
    <row r="30" spans="1:11" x14ac:dyDescent="0.2">
      <c r="A30" s="6"/>
      <c r="B30" s="18">
        <v>512000</v>
      </c>
      <c r="C30" s="18">
        <v>979.178</v>
      </c>
      <c r="D30" s="20" t="s">
        <v>6</v>
      </c>
      <c r="E30" s="6"/>
      <c r="F30" s="6"/>
      <c r="G30" s="6"/>
      <c r="H30" s="6"/>
      <c r="I30" s="6"/>
      <c r="J30" s="6"/>
      <c r="K30" s="6"/>
    </row>
    <row r="31" spans="1:11" x14ac:dyDescent="0.2">
      <c r="A31" s="6"/>
      <c r="B31" s="19">
        <v>512000</v>
      </c>
      <c r="C31" s="19">
        <f>C30-C28</f>
        <v>0.16600000000005366</v>
      </c>
      <c r="D31" s="21" t="s">
        <v>13</v>
      </c>
      <c r="E31" s="6"/>
      <c r="F31" s="6"/>
      <c r="G31" s="6"/>
      <c r="H31" s="6"/>
      <c r="I31" s="6"/>
      <c r="J31" s="6"/>
      <c r="K31" s="6"/>
    </row>
    <row r="32" spans="1:1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2025-09-14T07:57:52Z</dcterms:modified>
</cp:coreProperties>
</file>